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shanthkumar/Desktop/"/>
    </mc:Choice>
  </mc:AlternateContent>
  <xr:revisionPtr revIDLastSave="0" documentId="8_{15653D13-BEBA-DA4F-A4E3-350F18087900}" xr6:coauthVersionLast="47" xr6:coauthVersionMax="47" xr10:uidLastSave="{00000000-0000-0000-0000-000000000000}"/>
  <bookViews>
    <workbookView xWindow="1080" yWindow="1160" windowWidth="27640" windowHeight="16440" xr2:uid="{D7E94341-E882-3849-8C08-D8D204C8C1E8}"/>
  </bookViews>
  <sheets>
    <sheet name="AnlySis" sheetId="1" r:id="rId1"/>
  </sheets>
  <definedNames>
    <definedName name="baseline_aov">AnlySis!$B$7</definedName>
    <definedName name="baseline_atc">AnlySis!$B$4</definedName>
    <definedName name="baseline_checkout">AnlySis!$B$5</definedName>
    <definedName name="baseline_completion">AnlySis!$B$12</definedName>
    <definedName name="baseline_orders">AnlySis!$B$6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3" i="1" l="1"/>
  <c r="I12" i="1"/>
  <c r="I11" i="1"/>
  <c r="I10" i="1"/>
  <c r="I9" i="1"/>
  <c r="I8" i="1"/>
  <c r="I7" i="1"/>
  <c r="I4" i="1"/>
  <c r="I3" i="1"/>
  <c r="E22" i="1"/>
  <c r="E21" i="1"/>
  <c r="J20" i="1"/>
  <c r="I20" i="1"/>
  <c r="H20" i="1"/>
  <c r="G21" i="1"/>
  <c r="H21" i="1" s="1"/>
  <c r="I21" i="1" s="1"/>
  <c r="J21" i="1" s="1"/>
  <c r="G22" i="1"/>
  <c r="H22" i="1" s="1"/>
  <c r="I22" i="1" s="1"/>
  <c r="J22" i="1" s="1"/>
  <c r="G20" i="1"/>
  <c r="F22" i="1"/>
  <c r="F21" i="1"/>
  <c r="F20" i="1"/>
  <c r="E20" i="1"/>
  <c r="D22" i="1"/>
  <c r="D21" i="1"/>
  <c r="D20" i="1"/>
</calcChain>
</file>

<file path=xl/sharedStrings.xml><?xml version="1.0" encoding="utf-8"?>
<sst xmlns="http://schemas.openxmlformats.org/spreadsheetml/2006/main" count="57" uniqueCount="53">
  <si>
    <t>Metric</t>
  </si>
  <si>
    <t>Value</t>
  </si>
  <si>
    <t>rate</t>
  </si>
  <si>
    <t>sessions PM</t>
  </si>
  <si>
    <t>PDP views</t>
  </si>
  <si>
    <t>ATC</t>
  </si>
  <si>
    <t>checkout initiate</t>
  </si>
  <si>
    <t>orders</t>
  </si>
  <si>
    <t>aov</t>
  </si>
  <si>
    <t>Revnue PM</t>
  </si>
  <si>
    <t>GM</t>
  </si>
  <si>
    <t>Spends paid</t>
  </si>
  <si>
    <t>CAC</t>
  </si>
  <si>
    <t>Completion rate</t>
  </si>
  <si>
    <t>Checkout start TO  order</t>
  </si>
  <si>
    <t>One-time omnichannel build cost</t>
  </si>
  <si>
    <t>Live V C</t>
  </si>
  <si>
    <t>apV</t>
  </si>
  <si>
    <t>Costs</t>
  </si>
  <si>
    <t>Logic</t>
  </si>
  <si>
    <t>Total Monthly revenue</t>
  </si>
  <si>
    <t>orders x AOV</t>
  </si>
  <si>
    <t>Gross profit</t>
  </si>
  <si>
    <t>× 49% GM</t>
  </si>
  <si>
    <t>Paid spend</t>
  </si>
  <si>
    <t>given</t>
  </si>
  <si>
    <t>Gross-profit ROAS</t>
  </si>
  <si>
    <t>GP / spend</t>
  </si>
  <si>
    <t>New customers (paid)</t>
  </si>
  <si>
    <t>Spend/cac</t>
  </si>
  <si>
    <t>additional orders/6960</t>
  </si>
  <si>
    <t>Imoroved total customers per month through paid spends</t>
  </si>
  <si>
    <t>order lift * New customers (paid)</t>
  </si>
  <si>
    <t>Improved CAC</t>
  </si>
  <si>
    <t>spend/customers</t>
  </si>
  <si>
    <t>New Gross Profit /mo</t>
  </si>
  <si>
    <t>New total revenue*49%</t>
  </si>
  <si>
    <t>Improved Gross-Profit ROAS</t>
  </si>
  <si>
    <t>New GP/spend</t>
  </si>
  <si>
    <t>Scenario</t>
  </si>
  <si>
    <t>ATC Uplift</t>
  </si>
  <si>
    <t>Order uplift (from checkout)</t>
  </si>
  <si>
    <t>New Total Cart Adders</t>
  </si>
  <si>
    <t>Checkout</t>
  </si>
  <si>
    <t>Completion Rate</t>
  </si>
  <si>
    <t>Total Orders</t>
  </si>
  <si>
    <t>Extra Orders /mo</t>
  </si>
  <si>
    <t>Extra revenue /mo</t>
  </si>
  <si>
    <t>Incremental GP /mo</t>
  </si>
  <si>
    <t>Conservative</t>
  </si>
  <si>
    <t>Base</t>
  </si>
  <si>
    <t>Optimistic</t>
  </si>
  <si>
    <t>Order Lift FROM BASE SECENIRO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</si>
</sst>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4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9" fontId="0" fillId="0" borderId="0" xfId="1" applyFont="1"/>
    <xf numFmtId="164" fontId="0" fillId="0" borderId="0" xfId="1" applyNumberFormat="1" applyFont="1"/>
    <xf numFmtId="10" fontId="0" fillId="0" borderId="0" xfId="1" applyNumberFormat="1" applyFont="1"/>
    <xf numFmtId="0" fontId="2" fillId="2" borderId="0" xfId="0" applyFont="1" applyFill="1"/>
    <xf numFmtId="0" fontId="0" fillId="0" borderId="0" xfId="0" applyAlignment="1">
      <alignment horizontal="left"/>
    </xf>
    <xf numFmtId="1" fontId="0" fillId="0" borderId="0" xfId="0" applyNumberFormat="1"/>
    <xf numFmtId="2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164" fontId="0" fillId="3" borderId="0" xfId="1" applyNumberFormat="1" applyFont="1" applyFill="1" applyAlignment="1">
      <alignment horizontal="left"/>
    </xf>
    <xf numFmtId="1" fontId="0" fillId="3" borderId="0" xfId="0" applyNumberFormat="1" applyFill="1" applyAlignment="1">
      <alignment horizontal="left"/>
    </xf>
    <xf numFmtId="1" fontId="0" fillId="3" borderId="0" xfId="0" applyNumberFormat="1" applyFill="1"/>
    <xf numFmtId="9" fontId="0" fillId="3" borderId="0" xfId="1" applyFont="1" applyFill="1"/>
    <xf numFmtId="0" fontId="0" fillId="3" borderId="0" xfId="0" applyFill="1"/>
    <xf numFmtId="10" fontId="0" fillId="3" borderId="0" xfId="1" applyNumberFormat="1" applyFont="1" applyFill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2C026-73A8-A641-A54E-8A6DCA8B6D5B}">
  <dimension ref="A2:J27"/>
  <sheetViews>
    <sheetView tabSelected="1" workbookViewId="0">
      <selection activeCell="B29" sqref="B29"/>
    </sheetView>
  </sheetViews>
  <sheetFormatPr baseColWidth="10" defaultRowHeight="16" x14ac:dyDescent="0.2"/>
  <cols>
    <col min="1" max="1" width="16.1640625" customWidth="1"/>
    <col min="2" max="2" width="29.83203125" customWidth="1"/>
    <col min="3" max="3" width="19.6640625" customWidth="1"/>
    <col min="4" max="4" width="20.6640625" customWidth="1"/>
    <col min="7" max="7" width="13.6640625" bestFit="1" customWidth="1"/>
    <col min="8" max="8" width="48.1640625" customWidth="1"/>
    <col min="9" max="9" width="23" customWidth="1"/>
    <col min="10" max="10" width="27.5" customWidth="1"/>
  </cols>
  <sheetData>
    <row r="2" spans="1:10" x14ac:dyDescent="0.2">
      <c r="B2" s="4" t="s">
        <v>0</v>
      </c>
      <c r="C2" s="4" t="s">
        <v>1</v>
      </c>
      <c r="D2" s="4" t="s">
        <v>2</v>
      </c>
      <c r="H2" s="4" t="s">
        <v>0</v>
      </c>
      <c r="I2" s="4" t="s">
        <v>1</v>
      </c>
      <c r="J2" s="4" t="s">
        <v>19</v>
      </c>
    </row>
    <row r="3" spans="1:10" x14ac:dyDescent="0.2">
      <c r="B3" t="s">
        <v>3</v>
      </c>
      <c r="C3">
        <v>1200000</v>
      </c>
      <c r="G3" s="5"/>
      <c r="H3" t="s">
        <v>20</v>
      </c>
      <c r="I3" s="5">
        <f>C7*C8</f>
        <v>12458400</v>
      </c>
      <c r="J3" t="s">
        <v>21</v>
      </c>
    </row>
    <row r="4" spans="1:10" x14ac:dyDescent="0.2">
      <c r="B4" t="s">
        <v>4</v>
      </c>
      <c r="C4">
        <v>540000</v>
      </c>
      <c r="D4" s="1">
        <v>0.35</v>
      </c>
      <c r="G4" s="5"/>
      <c r="H4" t="s">
        <v>22</v>
      </c>
      <c r="I4" s="5">
        <f>I3*0.49</f>
        <v>6104616</v>
      </c>
      <c r="J4" t="s">
        <v>23</v>
      </c>
    </row>
    <row r="5" spans="1:10" x14ac:dyDescent="0.2">
      <c r="B5" t="s">
        <v>5</v>
      </c>
      <c r="C5">
        <v>78000</v>
      </c>
      <c r="D5" s="1">
        <v>0.14444444444444443</v>
      </c>
      <c r="G5" s="5"/>
      <c r="H5" t="s">
        <v>24</v>
      </c>
      <c r="I5">
        <v>1060000</v>
      </c>
      <c r="J5" t="s">
        <v>25</v>
      </c>
    </row>
    <row r="6" spans="1:10" x14ac:dyDescent="0.2">
      <c r="B6" t="s">
        <v>6</v>
      </c>
      <c r="C6">
        <v>33000</v>
      </c>
      <c r="D6" s="2">
        <v>0.42307692307692307</v>
      </c>
      <c r="G6" s="5"/>
      <c r="H6" t="s">
        <v>12</v>
      </c>
      <c r="I6" s="5">
        <v>182</v>
      </c>
      <c r="J6" t="s">
        <v>25</v>
      </c>
    </row>
    <row r="7" spans="1:10" x14ac:dyDescent="0.2">
      <c r="B7" t="s">
        <v>7</v>
      </c>
      <c r="C7">
        <v>6960</v>
      </c>
      <c r="D7" s="3">
        <v>5.7999999999999996E-3</v>
      </c>
      <c r="G7" s="5"/>
      <c r="H7" t="s">
        <v>26</v>
      </c>
      <c r="I7" s="7">
        <f>I4/I5</f>
        <v>5.7590716981132077</v>
      </c>
      <c r="J7" t="s">
        <v>27</v>
      </c>
    </row>
    <row r="8" spans="1:10" x14ac:dyDescent="0.2">
      <c r="B8" t="s">
        <v>8</v>
      </c>
      <c r="C8">
        <v>1790</v>
      </c>
      <c r="G8" s="5"/>
      <c r="H8" t="s">
        <v>28</v>
      </c>
      <c r="I8" s="10">
        <f>I5/I6</f>
        <v>5824.1758241758243</v>
      </c>
      <c r="J8" t="s">
        <v>29</v>
      </c>
    </row>
    <row r="9" spans="1:10" x14ac:dyDescent="0.2">
      <c r="B9" t="s">
        <v>9</v>
      </c>
      <c r="C9">
        <v>12458400</v>
      </c>
      <c r="D9">
        <v>10.382</v>
      </c>
      <c r="E9" t="s">
        <v>17</v>
      </c>
      <c r="G9" s="5"/>
      <c r="H9" t="s">
        <v>52</v>
      </c>
      <c r="I9" s="9">
        <f>H21/C7</f>
        <v>0.10219956363636364</v>
      </c>
      <c r="J9" t="s">
        <v>30</v>
      </c>
    </row>
    <row r="10" spans="1:10" x14ac:dyDescent="0.2">
      <c r="B10" t="s">
        <v>10</v>
      </c>
      <c r="C10">
        <v>0.49</v>
      </c>
      <c r="G10" s="5"/>
      <c r="H10" t="s">
        <v>31</v>
      </c>
      <c r="I10" s="10">
        <f>I8*1.102</f>
        <v>6418.2417582417593</v>
      </c>
      <c r="J10" t="s">
        <v>32</v>
      </c>
    </row>
    <row r="11" spans="1:10" x14ac:dyDescent="0.2">
      <c r="B11" t="s">
        <v>11</v>
      </c>
      <c r="C11">
        <v>1060000</v>
      </c>
      <c r="G11" s="5"/>
      <c r="H11" t="s">
        <v>33</v>
      </c>
      <c r="I11" s="10">
        <f>I5/I10</f>
        <v>165.15426497277673</v>
      </c>
      <c r="J11" t="s">
        <v>34</v>
      </c>
    </row>
    <row r="12" spans="1:10" x14ac:dyDescent="0.2">
      <c r="B12" t="s">
        <v>12</v>
      </c>
      <c r="C12">
        <v>182</v>
      </c>
      <c r="G12" s="5"/>
      <c r="H12" t="s">
        <v>35</v>
      </c>
      <c r="I12" s="8">
        <f>(I3+I21)*0.49</f>
        <v>6728505.0913675632</v>
      </c>
      <c r="J12" t="s">
        <v>36</v>
      </c>
    </row>
    <row r="13" spans="1:10" x14ac:dyDescent="0.2">
      <c r="B13" t="s">
        <v>13</v>
      </c>
      <c r="C13" s="2">
        <v>0.21090909090909091</v>
      </c>
      <c r="D13" t="s">
        <v>14</v>
      </c>
      <c r="G13" s="5"/>
      <c r="H13" t="s">
        <v>37</v>
      </c>
      <c r="I13" s="7">
        <f>I12/I5</f>
        <v>6.3476463126109088</v>
      </c>
      <c r="J13" t="s">
        <v>38</v>
      </c>
    </row>
    <row r="16" spans="1:10" x14ac:dyDescent="0.2">
      <c r="A16" s="4" t="s">
        <v>18</v>
      </c>
      <c r="B16" t="s">
        <v>15</v>
      </c>
      <c r="C16">
        <v>30000</v>
      </c>
    </row>
    <row r="17" spans="1:10" x14ac:dyDescent="0.2">
      <c r="B17" t="s">
        <v>16</v>
      </c>
      <c r="C17">
        <v>1000</v>
      </c>
    </row>
    <row r="19" spans="1:10" x14ac:dyDescent="0.2">
      <c r="A19" s="4" t="s">
        <v>39</v>
      </c>
      <c r="B19" s="4" t="s">
        <v>40</v>
      </c>
      <c r="C19" s="4" t="s">
        <v>41</v>
      </c>
      <c r="D19" s="4" t="s">
        <v>42</v>
      </c>
      <c r="E19" s="4" t="s">
        <v>43</v>
      </c>
      <c r="F19" s="4" t="s">
        <v>44</v>
      </c>
      <c r="G19" s="4" t="s">
        <v>45</v>
      </c>
      <c r="H19" s="4" t="s">
        <v>46</v>
      </c>
      <c r="I19" s="4" t="s">
        <v>47</v>
      </c>
      <c r="J19" s="4" t="s">
        <v>48</v>
      </c>
    </row>
    <row r="20" spans="1:10" x14ac:dyDescent="0.2">
      <c r="A20" s="4" t="s">
        <v>49</v>
      </c>
      <c r="B20" s="1">
        <v>0.03</v>
      </c>
      <c r="C20" s="1">
        <v>0.02</v>
      </c>
      <c r="D20">
        <f>C5*(1+B20)</f>
        <v>80340</v>
      </c>
      <c r="E20">
        <f>D20*0.423</f>
        <v>33983.82</v>
      </c>
      <c r="F20" s="3">
        <f>C13*1.02</f>
        <v>0.21512727272727272</v>
      </c>
      <c r="G20" s="6">
        <f>E20*F20</f>
        <v>7310.8465134545449</v>
      </c>
      <c r="H20" s="11">
        <f>G20-$C$7</f>
        <v>350.84651345454495</v>
      </c>
      <c r="I20" s="11">
        <f>H20*$C$8</f>
        <v>628015.25908363541</v>
      </c>
      <c r="J20" s="11">
        <f>I20*$C$10</f>
        <v>307727.47695098136</v>
      </c>
    </row>
    <row r="21" spans="1:10" x14ac:dyDescent="0.2">
      <c r="A21" s="4" t="s">
        <v>50</v>
      </c>
      <c r="B21" s="12">
        <v>0.06</v>
      </c>
      <c r="C21" s="12">
        <v>0.04</v>
      </c>
      <c r="D21" s="13">
        <f>C5*(1+B21)</f>
        <v>82680</v>
      </c>
      <c r="E21" s="13">
        <f>D21*0.423</f>
        <v>34973.64</v>
      </c>
      <c r="F21" s="14">
        <f>C13*1.04</f>
        <v>0.21934545454545454</v>
      </c>
      <c r="G21" s="11">
        <f t="shared" ref="G21:G22" si="0">E21*F21</f>
        <v>7671.308962909091</v>
      </c>
      <c r="H21" s="11">
        <f t="shared" ref="H21:H22" si="1">G21-$C$7</f>
        <v>711.30896290909095</v>
      </c>
      <c r="I21" s="11">
        <f t="shared" ref="I21:I22" si="2">H21*$C$8</f>
        <v>1273243.0436072729</v>
      </c>
      <c r="J21" s="11">
        <f t="shared" ref="J21:J22" si="3">I21*$C$10</f>
        <v>623889.0913675637</v>
      </c>
    </row>
    <row r="22" spans="1:10" x14ac:dyDescent="0.2">
      <c r="A22" s="4" t="s">
        <v>51</v>
      </c>
      <c r="B22" s="1">
        <v>0.1</v>
      </c>
      <c r="C22" s="1">
        <v>7.0000000000000007E-2</v>
      </c>
      <c r="D22">
        <f>C5*(1+B22)</f>
        <v>85800</v>
      </c>
      <c r="E22">
        <f>D22*0.423</f>
        <v>36293.4</v>
      </c>
      <c r="F22" s="3">
        <f>C13*1.07</f>
        <v>0.22567272727272727</v>
      </c>
      <c r="G22" s="6">
        <f t="shared" si="0"/>
        <v>8190.4305600000007</v>
      </c>
      <c r="H22" s="11">
        <f t="shared" si="1"/>
        <v>1230.4305600000007</v>
      </c>
      <c r="I22" s="11">
        <f t="shared" si="2"/>
        <v>2202470.7024000012</v>
      </c>
      <c r="J22" s="11">
        <f t="shared" si="3"/>
        <v>1079210.6441760005</v>
      </c>
    </row>
    <row r="25" spans="1:10" x14ac:dyDescent="0.2">
      <c r="F25" s="3"/>
    </row>
    <row r="26" spans="1:10" x14ac:dyDescent="0.2">
      <c r="F26" s="3"/>
    </row>
    <row r="27" spans="1:10" x14ac:dyDescent="0.2">
      <c r="F27" s="3"/>
    </row>
  </sheetData>
  <pageMargins left="0.7" right="0.7" top="0.75" bottom="0.75" header="0.3" footer="0.3"/>
  <headerFooter>
    <oddFooter>&amp;L_x000D_&amp;1#&amp;"Aptos"&amp;8&amp;K000000 Sensitivity: Internal</oddFooter>
  </headerFooter>
</worksheet>
</file>

<file path=docMetadata/LabelInfo.xml><?xml version="1.0" encoding="utf-8"?>
<clbl:labelList xmlns:clbl="http://schemas.microsoft.com/office/2020/mipLabelMetadata">
  <clbl:label id="{7ad5f1e9-d6a9-44b6-b409-44344f128308}" enabled="1" method="Standard" siteId="{7cc91c38-648e-4ce2-a4e4-517ae39fc18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AnlySis</vt:lpstr>
      <vt:lpstr>baseline_aov</vt:lpstr>
      <vt:lpstr>baseline_atc</vt:lpstr>
      <vt:lpstr>baseline_checkout</vt:lpstr>
      <vt:lpstr>baseline_completion</vt:lpstr>
      <vt:lpstr>baseline_orders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Sushanth Kumar</dc:creator>
  <cp:lastModifiedBy>Sushanth Kumar</cp:lastModifiedBy>
  <dcterms:created xsi:type="dcterms:W3CDTF">2026-10-06T11:14:39Z</dcterms:created>
  <dcterms:modified xsi:type="dcterms:W3CDTF">2026-10-06T12:10:48Z</dcterms:modified>
</cp:coreProperties>
</file>